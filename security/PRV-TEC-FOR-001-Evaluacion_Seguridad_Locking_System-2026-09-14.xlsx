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ltradecomco-my.sharepoint.com/personal/tecnologia_coltrade_com_co/Documents/Coltrade/BUSINESS INTELLIGENCE/02. AREAS/DATA/Julian Estif Herreno Palacios/01 lockingsystem/security/"/>
    </mc:Choice>
  </mc:AlternateContent>
  <xr:revisionPtr revIDLastSave="1" documentId="11_6D5B397BDBF7D5229BAA63E730C03390C17F0F4F" xr6:coauthVersionLast="47" xr6:coauthVersionMax="47" xr10:uidLastSave="{D5C72DD5-C0E2-4298-BD10-3A647B571638}"/>
  <bookViews>
    <workbookView xWindow="-120" yWindow="-120" windowWidth="20730" windowHeight="11040" tabRatio="500" firstSheet="1" activeTab="1" xr2:uid="{00000000-000D-0000-FFFF-FFFF00000000}"/>
  </bookViews>
  <sheets>
    <sheet name="Instrucciones" sheetId="1" r:id="rId1"/>
    <sheet name="Evalu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2" l="1"/>
  <c r="G52" i="2"/>
  <c r="G51" i="2"/>
  <c r="G50" i="2"/>
  <c r="G49" i="2"/>
  <c r="G45" i="2"/>
  <c r="G44" i="2"/>
  <c r="G43" i="2"/>
  <c r="G42" i="2"/>
  <c r="G41" i="2"/>
  <c r="G37" i="2"/>
  <c r="G36" i="2"/>
  <c r="G35" i="2"/>
  <c r="G34" i="2"/>
  <c r="G33" i="2"/>
  <c r="G29" i="2"/>
  <c r="G28" i="2"/>
  <c r="G27" i="2"/>
  <c r="G26" i="2"/>
  <c r="G25" i="2"/>
  <c r="G21" i="2"/>
  <c r="G20" i="2"/>
  <c r="G19" i="2"/>
  <c r="G18" i="2"/>
  <c r="G17" i="2"/>
  <c r="G13" i="2"/>
  <c r="G12" i="2"/>
  <c r="M1" i="2"/>
  <c r="G56" i="2" s="1"/>
  <c r="G14" i="2" l="1"/>
  <c r="G22" i="2"/>
  <c r="G30" i="2"/>
  <c r="G38" i="2"/>
  <c r="G46" i="2"/>
  <c r="G54" i="2"/>
  <c r="G15" i="2"/>
  <c r="G23" i="2"/>
  <c r="G31" i="2"/>
  <c r="G39" i="2"/>
  <c r="G47" i="2"/>
  <c r="G55" i="2"/>
  <c r="G16" i="2"/>
  <c r="G24" i="2"/>
  <c r="G32" i="2"/>
  <c r="G40" i="2"/>
  <c r="G48" i="2"/>
  <c r="M3" i="2" l="1"/>
  <c r="M2" i="2"/>
  <c r="M4" i="2"/>
  <c r="E8" i="2" l="1"/>
  <c r="E4" i="2"/>
</calcChain>
</file>

<file path=xl/sharedStrings.xml><?xml version="1.0" encoding="utf-8"?>
<sst xmlns="http://schemas.openxmlformats.org/spreadsheetml/2006/main" count="454" uniqueCount="246">
  <si>
    <t>Acta de Evaluación de Seguridad — Salida a Producción</t>
  </si>
  <si>
    <t>Copia este archivo por proyecto. Completa el encabezado y marca cada ítem obligatorio; el resultado se calcula solo.</t>
  </si>
  <si>
    <t>Proyecto</t>
  </si>
  <si>
    <t>Locking System (LockSystemGeneral: backend Django/DRF + frontend React, integración WhaleTV/Zeasn)</t>
  </si>
  <si>
    <t>RESULTADO</t>
  </si>
  <si>
    <t>Responsable técnico</t>
  </si>
  <si>
    <t>Julian Estif Herreño Palacios</t>
  </si>
  <si>
    <t>Destinatario</t>
  </si>
  <si>
    <t>Externo</t>
  </si>
  <si>
    <t>Origen</t>
  </si>
  <si>
    <t>Propio</t>
  </si>
  <si>
    <t>Criticidad</t>
  </si>
  <si>
    <t>Crítico</t>
  </si>
  <si>
    <t>Ambiente</t>
  </si>
  <si>
    <t>Render</t>
  </si>
  <si>
    <t>Fecha</t>
  </si>
  <si>
    <t>ID</t>
  </si>
  <si>
    <t>Dominio</t>
  </si>
  <si>
    <t>Requisito</t>
  </si>
  <si>
    <t>Aplica a</t>
  </si>
  <si>
    <t>Oblig. desde</t>
  </si>
  <si>
    <t>Severidad</t>
  </si>
  <si>
    <t>¿Obligatorio aquí?</t>
  </si>
  <si>
    <t>Estado</t>
  </si>
  <si>
    <t>Evidencia</t>
  </si>
  <si>
    <t>Observación / plan</t>
  </si>
  <si>
    <t>HAB-1</t>
  </si>
  <si>
    <t>Habilitador previo</t>
  </si>
  <si>
    <t>NDA firmado antes de compartir documentación técnica o dar accesos (habilitador Comercial → Tech)</t>
  </si>
  <si>
    <t>Tercerizado</t>
  </si>
  <si>
    <t>Bajo</t>
  </si>
  <si>
    <t>Bloqueante</t>
  </si>
  <si>
    <t>No aplica (Origen Propio). Nota: WhaleTV/Zeasn es un tercero integrado; su llave y credenciales se cubren en SEC-1/2/3.</t>
  </si>
  <si>
    <t>HAB-2</t>
  </si>
  <si>
    <t>Acuerdo de tratamiento de datos (DPA) si el tercero procesa datos personales de Supli o de clientes</t>
  </si>
  <si>
    <t>Medio</t>
  </si>
  <si>
    <t>No aplica (Origen Propio).</t>
  </si>
  <si>
    <t>HAB-3</t>
  </si>
  <si>
    <t>Aviso de privacidad / política de tratamiento visible y aceptada por el usuario final (por país)</t>
  </si>
  <si>
    <t>No cumple</t>
  </si>
  <si>
    <t>Búsqueda en frontend/src y backend de "privacidad", "habeas", "tratamiento de datos": sin resultados. La pantalla de login no muestra aviso ni aceptación.</t>
  </si>
  <si>
    <t>El consumidor final no usa la app, pero se tratan sus datos (serial, MAC, número de crédito). Si la autorización se recoge en el contrato de crédito (Supli/cliente), adjuntar ese documento y cambiar a Cumple. Plan: publicar política de tratamiento y aceptación para usuarios de empresas e integradores.</t>
  </si>
  <si>
    <t>IAM-1</t>
  </si>
  <si>
    <t>Identidad y accesos</t>
  </si>
  <si>
    <t>Autenticación robusta; sin credenciales por defecto ni cuentas compartidas</t>
  </si>
  <si>
    <t>Todos</t>
  </si>
  <si>
    <t>Cumple</t>
  </si>
  <si>
    <t>Login por email + JWT (SimpleJWT), access 15 min; contraseñas Argon2id con validadores (mín. 10, comunes, numéricas); sin auto-registro público (cuentas las crea un Administrador); guard que impide arrancar con SECRET_KEY de desarrollo. backend/core/settings.py, backend/SECURITY.md.</t>
  </si>
  <si>
    <t>Integradores usan API-key por empresa, guardada con hash SHA-256, revocable y con caducidad/IP opcional. La sesión única por navegador desincentiva cuentas compartidas.</t>
  </si>
  <si>
    <t>IAM-2</t>
  </si>
  <si>
    <t>MFA para accesos administrativos y a consolas (AWS, GitHub, paneles)</t>
  </si>
  <si>
    <t>La aplicación no tiene MFA (ni para rol Administrador ni para /admin/ de Django). No hay evidencia de MFA obligatorio en la org GitHub Tech-ColTrade ni en Render.</t>
  </si>
  <si>
    <t>Plan: exigir 2FA en la organización de GitHub y en Render (adjuntar capturas); agregar TOTP para Administrador/superadmin (p. ej. django-otp) o restringir /admin/.</t>
  </si>
  <si>
    <t>IAM-3</t>
  </si>
  <si>
    <t>Mínimo privilegio y roles (RBAC): cada persona/servicio con solo lo necesario</t>
  </si>
  <si>
    <t>Mayor</t>
  </si>
  <si>
    <t>Roles Administrador/Operador/Consulta (backend/users/permissions.py); aislamiento multi-tenant por empresa (backend/empresas/scoping.py); superadmin de solo lectura; alta sin is_staff/is_superuser asignables (anti mass-assignment); API-key acotada a una empresa; contenedor corre con usuario sin root (Dockerfile).</t>
  </si>
  <si>
    <t>OK.</t>
  </si>
  <si>
    <t>IAM-4</t>
  </si>
  <si>
    <t>Proceso de alta/baja de accesos; revocación al salir del proyecto o la empresa</t>
  </si>
  <si>
    <t>Controles técnicos existen: desactivar usuario (is_active), cierre forzado de sesión POST /api/usuarios/&lt;id&gt;/cerrar-sesion/, revocación de API-keys, desactivar empresa. No existe un procedimiento documentado de alta/baja.</t>
  </si>
  <si>
    <t>Plan: documentar el procedimiento (quién solicita, quién aprueba, revisión periódica de cuentas y API-keys) incluyendo accesos a GitHub, Render y portal WhaleTV.</t>
  </si>
  <si>
    <t>DAT-1</t>
  </si>
  <si>
    <t>Protección de datos</t>
  </si>
  <si>
    <t>Cifrado en tránsito (TLS/HTTPS) en todos los endpoints</t>
  </si>
  <si>
    <t>Con DEBUG=False: SECURE_SSL_REDIRECT, HSTS 1 año (subdominios + preload), cookies Secure, SECURE_PROXY_SSL_HEADER; TLS de Render en *.onrender.com; Postgres con ssl_require=True; WhaleTV por HTTPS. check --deploy sin issues (SECURITY.md).</t>
  </si>
  <si>
    <t>Única exención de redirección: /api/health/ (health check interno de Render).</t>
  </si>
  <si>
    <t>DAT-2</t>
  </si>
  <si>
    <t>Cifrado en reposo para datos personales, financieros y credenciales</t>
  </si>
  <si>
    <t>Render Postgres cifra los datos en reposo (gestionado por Render; adjuntar referencia/captura). Contraseñas con Argon2id; API-keys solo como hash SHA-256; secretos en variables de entorno de Render.</t>
  </si>
  <si>
    <t>Observación: la bitácora PinCodeUsado guarda passcode y pin_code en claro (backend/televisores/models.py:262-264); protegidos por cifrado de disco y aislamiento por empresa. Evaluar cifrado a nivel de campo.</t>
  </si>
  <si>
    <t>DAT-3</t>
  </si>
  <si>
    <t>Clasificación de los datos que maneja el proyecto</t>
  </si>
  <si>
    <t>No hay clasificación formal documentada. Inventario identificado en modelos: usuarios (email, nombres, IP, dispositivo), televisores (serial, MAC, EUI-64, número de crédito vinculable a una persona), empresas (nombre, NIT), PINs de desbloqueo e IPs en bitácoras.</t>
  </si>
  <si>
    <t>Plan: formalizar la clasificación (público/interno/confidencial/personal/financiero) partiendo de este inventario.</t>
  </si>
  <si>
    <t>DAT-4</t>
  </si>
  <si>
    <t>Habeas Data (Ley 1581) y normativa de los países donde opera (US, MX, PE)</t>
  </si>
  <si>
    <t>Sin evidencia de autorización de tratamiento, política de tratamiento, registro RNBD (SIC) ni análisis de normativa US/MX/PE.</t>
  </si>
  <si>
    <t>Plan: validar con Legal/Cumplimiento; definir finalidad, autorización y registro de la base de datos.</t>
  </si>
  <si>
    <t>DAT-5</t>
  </si>
  <si>
    <t>Nunca datos reales de producción en desarrollo/pruebas (anonimizados o sintéticos)</t>
  </si>
  <si>
    <t>backend/.env local (DEBUG=True) se conecta por la URL externa a la instancia Postgres de Render y al esquema LockEstandar, el mismo que usa producción según la arquitectura de esquemas.</t>
  </si>
  <si>
    <t>Plan: usar SQLite o una base/esquema de desarrollo con datos sintéticos; quitar DATABASE_URL de producción del .env local. Confirmar el DB_SCHEMA configurado en el servicio de Render.</t>
  </si>
  <si>
    <t>APP-1</t>
  </si>
  <si>
    <t>Aplicación (AppSec)</t>
  </si>
  <si>
    <t>Validación de entradas y salida segura (inyección, XSS) — OWASP Top 10</t>
  </si>
  <si>
    <t>Solo ORM de Django: sin SQL crudo (búsqueda de .raw(, cursor(, .extra(, RawSQL sin resultados); validación con serializers DRF; React escapa por defecto (sin dangerouslySetInnerHTML/innerHTML); X-Frame-Options DENY, nosniff; CSRF no aplica a la API (Bearer, sin cookies).</t>
  </si>
  <si>
    <t>Recomendación: agregar Content-Security-Policy en el sitio estático.</t>
  </si>
  <si>
    <t>APP-2</t>
  </si>
  <si>
    <t>Sin vulnerabilidades conocidas de severidad alta/crítica al salir</t>
  </si>
  <si>
    <t>Escaneo 2026-09-14. npm audit (dependencias de prod): 10 altas, 4 moderadas (react-router-dom directa, undici, postcss, nanoid, etc.; todas con fix). OSV (Python): sqlparse 0.5.5 con 3 ALTAS (DoS), Django 6.0.6 (2 moderadas, 1 baja), DRF 3.17.1 (2 moderadas).</t>
  </si>
  <si>
    <t>Plan: npm audit fix; subir Django a 6.0.7, djangorestframework a 3.17.2 y sqlparse a 0.6.0; correr tests y re-escanear antes de salir.</t>
  </si>
  <si>
    <t>APP-3</t>
  </si>
  <si>
    <t>Manejo de errores sin exponer trazas, rutas internas ni datos sensibles</t>
  </si>
  <si>
    <t>DEBUG=False en producción (render.yaml) → sin páginas de traza; BrowsableAPIRenderer desactivado en prod; logging sin cuerpos ni credenciales.</t>
  </si>
  <si>
    <t>Observación: algunas vistas devuelven str(PortalError) al cliente (backend/televisores/api/views.py:118-120, 238-240, 261-263) y hay un print() en bulk_sync.py:162; revisar que no filtren detalles internos del portal.</t>
  </si>
  <si>
    <t>APP-4</t>
  </si>
  <si>
    <t>Dependencias sin vulnerabilidades críticas conocidas y en versiones soportadas</t>
  </si>
  <si>
    <t>Versiones soportadas (Python 3.13, Django 6.0, Debian trixie), pero con vulnerabilidades conocidas altas: ver APP-2.</t>
  </si>
  <si>
    <t>Mismo plan que APP-2; fijar versiones corregidas en requirements.txt y package-lock.json.</t>
  </si>
  <si>
    <t>SEC-1</t>
  </si>
  <si>
    <t>Secretos</t>
  </si>
  <si>
    <t>Cero secretos en código o repositorios (llaves, tokens, contraseñas)</t>
  </si>
  <si>
    <t>backend/.env está en .gitignore y nunca entró al historial (git log --all -- backend/.env vacío). Búsqueda en historial de llaves WhaleTV y cadenas postgres:// con contraseña: 0 resultados. frontend/.env y .env.production solo tienen VITE_API_URL (pública).</t>
  </si>
  <si>
    <t>SECRET_KEY de desarrollo (django-insecure-...) queda como valor por defecto en settings.py; el guard impide usarla con DEBUG=False. En tests solo hay contraseñas ficticias.</t>
  </si>
  <si>
    <t>SEC-2</t>
  </si>
  <si>
    <t>Secretos en variables de entorno o gestor de secretos (AWS Secrets Manager / Render)</t>
  </si>
  <si>
    <t>render.yaml: DATABASE_URL, CORS y secretos WhaleTV con sync:false (definidos en el dashboard); SECRET_KEY y JWT_SIGNING_KEY con generateValue. settings.py aborta si faltan secretos con DEBUG=False.</t>
  </si>
  <si>
    <t>SEC-3</t>
  </si>
  <si>
    <t>Rotación de llaves y credenciales ante sospecha o rotación de personal</t>
  </si>
  <si>
    <t>Las credenciales WhaleTV (Lock API y Portal) estuvieron hardcodeadas en código anterior (SECURITY.md) y la contraseña de Postgres quedó expuesta (julio 2026); rotación pendiente. No hay procedimiento de rotación.</t>
  </si>
  <si>
    <t>Plan: rotar llaves Lock API, contraseña del Portal WhaleTV y contraseña de Postgres; documentar procedimiento de rotación ante sospecha o salida de personal.</t>
  </si>
  <si>
    <t>INF-1</t>
  </si>
  <si>
    <t>Infraestructura</t>
  </si>
  <si>
    <t>Separación de ambientes: Desarrollo / Pruebas (Staging) / Producción</t>
  </si>
  <si>
    <t>render.yaml define un solo ambiente (producción). No existe Staging y el desarrollo local usa la base/esquema de producción (ver DAT-5).</t>
  </si>
  <si>
    <t>Plan: crear servicios Staging en Render (API + web) con base o esquema propio y datos sintéticos.</t>
  </si>
  <si>
    <t>INF-2</t>
  </si>
  <si>
    <t>Superficie de red mínima; reglas revisadas (security groups AWS)</t>
  </si>
  <si>
    <t>Servicios de Render exponen solo HTTPS (gunicorn en $PORT; frontend estático); la API usa la Internal Database URL. Sin embargo la base Postgres acepta conexiones externas (el entorno local se conecta por el host externo).</t>
  </si>
  <si>
    <t>Plan: restringir en Render → Postgres → Access Control a IPs autorizadas, o deshabilitar el acceso externo.</t>
  </si>
  <si>
    <t>INF-3</t>
  </si>
  <si>
    <t>Sin desarrollo directo sobre producción; los cambios pasan por el pipeline</t>
  </si>
  <si>
    <t>Desarrollo local contra la base de producción (DAT-5). No hay pipeline: no hay .github/workflows; Render despliega directamente desde la rama.</t>
  </si>
  <si>
    <t>Plan: pipeline CI (GitHub Actions) + ambiente Staging; prohibir conexiones de desarrollo a producción.</t>
  </si>
  <si>
    <t>INF-4</t>
  </si>
  <si>
    <t>Configuración endurecida (sin paneles de debug ni endpoints de prueba en prod)</t>
  </si>
  <si>
    <t>DEBUG=False, navegador de DRF deshabilitado en prod, check --deploy sin issues; único endpoint auxiliar /api/health/ (solo devuelve status).</t>
  </si>
  <si>
    <t>Observación: el admin de Django (/admin/) está expuesto públicamente; restringirlo por IP/ruta o protegerlo con MFA (ver IAM-2).</t>
  </si>
  <si>
    <t>CI-1</t>
  </si>
  <si>
    <t>Versionado y pipeline</t>
  </si>
  <si>
    <t>Código en repositorio con historial y control de acceso</t>
  </si>
  <si>
    <t>Repositorio GitHub Tech-ColTrade/LockSystemGeneral con historial (ramas main y develop).</t>
  </si>
  <si>
    <t>Verificar y adjuntar: repositorio privado y lista de colaboradores con permisos.</t>
  </si>
  <si>
    <t>CI-2</t>
  </si>
  <si>
    <t>Protección de ramas: sin push directo a main/producción; cambios por Pull Request</t>
  </si>
  <si>
    <t>Historial sin merges ni Pull Requests: los commits llegan directo a main.</t>
  </si>
  <si>
    <t>Plan: branch protection / ruleset en main (PR obligatorio, sin force-push).</t>
  </si>
  <si>
    <t>CI-3</t>
  </si>
  <si>
    <t>Revisión por al menos otra persona antes de fusionar a producción</t>
  </si>
  <si>
    <t>Un único autor en el historial (4 commits); sin revisiones registradas.</t>
  </si>
  <si>
    <t>Plan: exigir al menos 1 aprobación en PR hacia main.</t>
  </si>
  <si>
    <t>LOG-1</t>
  </si>
  <si>
    <t>Monitoreo y respuesta</t>
  </si>
  <si>
    <t>Registro de eventos de seguridad (accesos, errores, acciones administrativas)</t>
  </si>
  <si>
    <t>Parcial: bitácora de PINs entregados y jobs de sincronización con usuario e IP; last_login/last_activity; access log de gunicorn; logger django.security. No se registran intentos de login fallidos ni acciones administrativas (alta/baja de usuarios, API-keys, empresas).</t>
  </si>
  <si>
    <t>Plan: registrar eventos de autenticación y de administración (quién, qué, cuándo, IP) y conservarlos fuera del contenedor.</t>
  </si>
  <si>
    <t>LOG-2</t>
  </si>
  <si>
    <t>Alertas ante fallos o comportamiento anómalo, con responsable de atención</t>
  </si>
  <si>
    <t>Solo health check de Render (/api/health/). No hay alertas configuradas ni responsable asignado.</t>
  </si>
  <si>
    <t>Plan: activar notificaciones de Render (fallos de deploy/health), monitor externo de disponibilidad y captura de errores (p. ej. Sentry) con responsable.</t>
  </si>
  <si>
    <t>LOG-3</t>
  </si>
  <si>
    <t>Procedimiento básico de respuesta a incidentes: a quién se avisa y qué se hace</t>
  </si>
  <si>
    <t>No existe procedimiento de respuesta a incidentes.</t>
  </si>
  <si>
    <t>Plan: documento corto: contactos (Tech, Legal, WhaleTV/Zeasn, cliente), pasos de contención (revocar tokens/API-keys, rotar secretos) y comunicación.</t>
  </si>
  <si>
    <t>BCP-1</t>
  </si>
  <si>
    <t>Continuidad</t>
  </si>
  <si>
    <t>Copias de respaldo de datos y configuración</t>
  </si>
  <si>
    <t>Sin evidencia de respaldos: el plan de Render Postgres (backups/PITR) no está documentado. La configuración está versionada (render.yaml, Dockerfile), pero los secretos no tienen respaldo.</t>
  </si>
  <si>
    <t>Por confirmar: si el plan de Render incluye PITR/backups diarios, adjuntar captura y cambiar a Cumple. Complementar con pg_dump periódico del esquema LockEstandar.</t>
  </si>
  <si>
    <t>BCP-2</t>
  </si>
  <si>
    <t>Restauración de respaldo probada al menos una vez</t>
  </si>
  <si>
    <t>No hay registro de una restauración probada.</t>
  </si>
  <si>
    <t>Plan: restaurar un backup en una base temporal y dejar evidencia (fecha, duración, resultado).</t>
  </si>
  <si>
    <t>BCP-3</t>
  </si>
  <si>
    <t>Objetivos de recuperación definidos (RTO/RPO)</t>
  </si>
  <si>
    <t>Menor</t>
  </si>
  <si>
    <t>RTO/RPO no definidos.</t>
  </si>
  <si>
    <t>Plan: definir con negocio (propuesta inicial: RPO 24 h, RTO 4 h).</t>
  </si>
  <si>
    <t>DOC-1</t>
  </si>
  <si>
    <t>Documentación</t>
  </si>
  <si>
    <t>Diagrama de arquitectura y de flujo de datos</t>
  </si>
  <si>
    <t>DEPLOY.md describe los servicios (API, web, Postgres) y SECURITY.md los controles, pero no hay diagrama de arquitectura ni de flujo de datos.</t>
  </si>
  <si>
    <t>Plan: diagrama con flujo usuario → web → API → Postgres, API → WhaleTV (Lock API y Portal vía Selenium) e integradores ERP por API-key.</t>
  </si>
  <si>
    <t>DOC-2</t>
  </si>
  <si>
    <t>Runbook mínimo de operación (desplegar, revertir, contactos)</t>
  </si>
  <si>
    <t>Parcial: DEPLOY.md cubre servicios, variables, orden de despliegue y arranque. Faltan cómo revertir (rollback en Render) y contactos.</t>
  </si>
  <si>
    <t>Plan: completar DEPLOY.md con rollback y contactos.</t>
  </si>
  <si>
    <t>DEV-1</t>
  </si>
  <si>
    <t>Desarrollo propio</t>
  </si>
  <si>
    <t>Escaneo de dependencias (SCA) integrado o ejecutado antes de salir</t>
  </si>
  <si>
    <t>SCA ejecutado antes de salir (2026-09-14): npm audit sobre frontend y consulta OSV sobre requirements.txt. Hallazgos en APP-2.</t>
  </si>
  <si>
    <t>Recomendación: integrarlo en CI (Dependabot / npm audit / pip-audit).</t>
  </si>
  <si>
    <t>DEV-2</t>
  </si>
  <si>
    <t>Análisis estático (SAST) o, mínimo, revisión de seguridad en el PR</t>
  </si>
  <si>
    <t>No hay SAST ni revisión de seguridad en PR (no hay PRs).</t>
  </si>
  <si>
    <t>Plan: GitHub Actions con CodeQL o Semgrep + bandit para Python.</t>
  </si>
  <si>
    <t>DEV-3</t>
  </si>
  <si>
    <t>Estándar de codificación segura conocido por el equipo (checklist OWASP)</t>
  </si>
  <si>
    <t>backend/SECURITY.md documenta controles alineados con OWASP (Argon2id, rate limiting, anti mass-assignment, cabeceras, secretos, CORS).</t>
  </si>
  <si>
    <t>Recomendación: formalizar un checklist OWASP para PRs.</t>
  </si>
  <si>
    <t>DEV-4</t>
  </si>
  <si>
    <t>Gate en el pipeline: no despliega a prod si fallan las verificaciones</t>
  </si>
  <si>
    <t>No hay pipeline ni gate: Render despliega aunque fallen los tests (existen tests en backend/users/tests, empresas/tests.py, etc., pero no se ejecutan automáticamente).</t>
  </si>
  <si>
    <t>Plan: CI que corra tests + SCA/SAST y despliegue en Render solo si pasa (deploy hook o auto-deploy tras checks).</t>
  </si>
  <si>
    <t>TER-1</t>
  </si>
  <si>
    <t>Tercerización</t>
  </si>
  <si>
    <t>Cláusulas contractuales: SLA, notificación de incidentes, derecho de auditoría</t>
  </si>
  <si>
    <t>No aplica (Origen Propio). Revisar igualmente el contrato con WhaleTV/Zeasn (SLA, notificación de incidentes).</t>
  </si>
  <si>
    <t>TER-2</t>
  </si>
  <si>
    <t>Accesos e integración del tercero con mínimo privilegio (llaves/API scopes acotados)</t>
  </si>
  <si>
    <t>TER-3</t>
  </si>
  <si>
    <t>Plan de salida / portabilidad: recuperar datos y cortar accesos al terminar</t>
  </si>
  <si>
    <t>EXT-1</t>
  </si>
  <si>
    <t>Externo (clientes)</t>
  </si>
  <si>
    <t>Registro e inicio de sesión seguros para usuarios externos (contraseñas, recuperación y verificación seguras)</t>
  </si>
  <si>
    <t>Contraseñas Argon2id con validadores; sin auto-registro (alta por Administrador); login limitado a 5/min; cambio de contraseña revoca las demás sesiones; cuentas inactivas o de empresa desactivada no pueden renovar tokens.</t>
  </si>
  <si>
    <t>No hay autoservicio "olvidé mi contraseña": la recuperación la hace un Administrador (sin flujo por correo que asegurar).</t>
  </si>
  <si>
    <t>EXT-2</t>
  </si>
  <si>
    <t>Protección de la sesión del usuario externo (expiración, cierre de sesión, tokens seguros)</t>
  </si>
  <si>
    <t>Access 15 min; refresh 7 días con rotación; logout real server-side (token_version); cierre por inactividad aplicado por el servidor; sesión única atada al dispositivo (X-Device-Id). backend/users/session.py, users/authentication.py.</t>
  </si>
  <si>
    <t>Observaciones: SESSION_IDLE_TIMEOUT_MINUTES="1" en render.yaml es muy bajo, ajustar; el refresh token vive en localStorage (expuesto ante un XSS), mitigado por la atadura al dispositivo.</t>
  </si>
  <si>
    <t>EXT-3</t>
  </si>
  <si>
    <t>Protección contra abuso en endpoints públicos (límite de intentos, anti-fuerza bruta)</t>
  </si>
  <si>
    <t>Throttling DRF: login 5/min, anónimos 60/h, autenticados 1000/h, integración 2000/h por API-key; lista blanca de IPs opcional por API-key.</t>
  </si>
  <si>
    <t>Observación: sin CACHES configurado el contador es local a cada worker (2 workers) y se reinicia al reiniciar; usar caché compartida (Redis o caché en BD).</t>
  </si>
  <si>
    <t>EXT-4</t>
  </si>
  <si>
    <t>Minimización y retención de datos personales de clientes (solo lo necesario, con tiempo definido)</t>
  </si>
  <si>
    <t>Minimización razonable (no se guarda nombre ni documento del consumidor; solo serial, MAC y número de crédito), pero no hay política de retención ni purga de bitácoras (PINs, IPs, jobs).</t>
  </si>
  <si>
    <t>Plan: definir tiempos de retención y tarea de purga/anonimización.</t>
  </si>
  <si>
    <t>Acta de Evaluación de Seguridad — Cómo usarla</t>
  </si>
  <si>
    <t>1. Copia este archivo por proyecto.</t>
  </si>
  <si>
    <t>Un archivo = una evaluación. Nómbralo con la convención del KMS.</t>
  </si>
  <si>
    <t>2. Llena el encabezado (hoja “Evaluación”).</t>
  </si>
  <si>
    <t>Proyecto, responsable, Destinatario (Interno/Externo), Origen (Propio/Tercerizado), Criticidad, Ambiente y fecha. Destinatario, Origen y Criticidad definen qué ítems son obligatorios.</t>
  </si>
  <si>
    <t>3. Marca cada ítem obligatorio.</t>
  </si>
  <si>
    <t>En la columna Estado elige Cumple / No cumple / N/A y adjunta la evidencia y observaciones.</t>
  </si>
  <si>
    <t>4. Lee el resultado.</t>
  </si>
  <si>
    <t>El veredicto (Aprobado / Con condiciones / No aprobado) se calcula solo según la regla de bloqueantes.</t>
  </si>
  <si>
    <t>5. Guarda la evidencia.</t>
  </si>
  <si>
    <t>El acta es el respaldo de la decisión de salida a producción.</t>
  </si>
  <si>
    <t>Dos ejes que definen los módulos</t>
  </si>
  <si>
    <t>•  Destinatario: Interno (uso interno de Supli) o Externo (involucra clientes / consumidor final).</t>
  </si>
  <si>
    <t>•  Origen: Propio (lo hace el equipo Tech) o Tercerizado (lo hace un proveedor).</t>
  </si>
  <si>
    <t>•  Núcleo común aplica a todos; +Propio o +Tercerizado según origen; +Externo si es de cara al cliente.</t>
  </si>
  <si>
    <t>Regla de decisión (automática)</t>
  </si>
  <si>
    <t>•  Algún Bloqueante en “No cumple”  →  NO APROBADO.</t>
  </si>
  <si>
    <t>•  Faltan ítems obligatorios por evaluar  →  INCOMPLETO.</t>
  </si>
  <si>
    <t>•  Sin bloqueantes, pero con Mayores en “No cumple”  →  APROBADO CON CONDICIONES.</t>
  </si>
  <si>
    <t>•  Sin bloqueantes ni mayores pendientes  →  APROBADO.</t>
  </si>
  <si>
    <t>La columna “¿Obligatorio aquí?” se calcula sola: marca SÍ cuando el ítem aplica a este proyecto (por criticidad, destinatario y origen). Los ítems en “No” no aplican y puedes dejarlos en blanco; no afectan el veredicto.</t>
  </si>
  <si>
    <t>Solo editas: encabezado (Proyecto…Fecha) y las columnas Estado, Evidencia y Observación.</t>
  </si>
  <si>
    <t>Ejemplo de una fila diligenciada</t>
  </si>
  <si>
    <t>MFA para accesos administrativos y a consolas</t>
  </si>
  <si>
    <t>Captura de config. MFA en consola AWS y GitHub</t>
  </si>
  <si>
    <t>OK, MFA activo para admins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</si>
</sst>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5"/>
      <color rgb="FF5B3A9E"/>
      <name val="Calibri"/>
      <family val="2"/>
    </font>
    <font>
      <b/>
      <sz val="11"/>
      <color rgb="FF000000"/>
      <name val="Calibri"/>
      <family val="2"/>
    </font>
    <font>
      <sz val="10"/>
      <color rgb="FF555555"/>
      <name val="Calibri"/>
      <family val="2"/>
    </font>
    <font>
      <b/>
      <sz val="12"/>
      <color rgb="FF5B3A9E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5B3A9E"/>
      <name val="Calibri"/>
      <family val="2"/>
    </font>
    <font>
      <b/>
      <sz val="10"/>
      <color rgb="FFFFFFFF"/>
      <name val="Calibri"/>
      <family val="2"/>
    </font>
    <font>
      <b/>
      <sz val="15"/>
      <color rgb="FFFFFFFF"/>
      <name val="Calibri"/>
      <family val="2"/>
    </font>
    <font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20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3A9E"/>
        <bgColor rgb="FF555555"/>
      </patternFill>
    </fill>
    <fill>
      <patternFill patternType="solid">
        <fgColor rgb="FFEFEAF6"/>
        <bgColor rgb="FFEEEEEE"/>
      </patternFill>
    </fill>
    <fill>
      <patternFill patternType="solid">
        <fgColor rgb="FFFFFDE7"/>
        <bgColor rgb="FFFAFAFA"/>
      </patternFill>
    </fill>
    <fill>
      <patternFill patternType="solid">
        <fgColor rgb="FF333333"/>
        <bgColor rgb="FF003366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center"/>
    </xf>
    <xf numFmtId="0" fontId="0" fillId="0" borderId="5" xfId="0" applyBorder="1"/>
    <xf numFmtId="0" fontId="9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10" fillId="0" borderId="0" xfId="0" applyFont="1" applyAlignment="1">
      <alignment horizontal="left" vertical="center"/>
    </xf>
    <xf numFmtId="164" fontId="0" fillId="4" borderId="2" xfId="0" applyNumberFormat="1" applyFill="1" applyBorder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9">
    <dxf>
      <font>
        <sz val="10"/>
        <color rgb="FF8A8F99"/>
        <name val="Calibri"/>
        <charset val="1"/>
      </font>
      <fill>
        <patternFill>
          <bgColor rgb="FFEEEEEE"/>
        </patternFill>
      </fill>
    </dxf>
    <dxf>
      <font>
        <sz val="10"/>
        <color rgb="FF14683A"/>
        <name val="Calibri"/>
        <charset val="1"/>
      </font>
      <fill>
        <patternFill>
          <bgColor rgb="FFE4F0E9"/>
        </patternFill>
      </fill>
    </dxf>
    <dxf>
      <font>
        <b/>
        <sz val="10"/>
        <color rgb="FFB3261E"/>
        <name val="Calibri"/>
        <charset val="1"/>
      </font>
      <fill>
        <patternFill>
          <bgColor rgb="FFFCE4E2"/>
        </patternFill>
      </fill>
    </dxf>
    <dxf>
      <font>
        <b/>
        <sz val="10"/>
        <color rgb="FF5B3A9E"/>
        <name val="Calibri"/>
        <charset val="1"/>
      </font>
      <fill>
        <patternFill>
          <bgColor rgb="FFEFEAF6"/>
        </patternFill>
      </fill>
    </dxf>
    <dxf>
      <font>
        <b/>
        <sz val="20"/>
        <color rgb="FFFFFFFF"/>
        <name val="Calibri"/>
        <charset val="1"/>
      </font>
      <fill>
        <patternFill>
          <bgColor rgb="FF14683A"/>
        </patternFill>
      </fill>
    </dxf>
    <dxf>
      <font>
        <b/>
        <sz val="18"/>
        <color rgb="FF333333"/>
        <name val="Calibri"/>
        <charset val="1"/>
      </font>
      <fill>
        <patternFill>
          <bgColor rgb="FFE0E0E0"/>
        </patternFill>
      </fill>
    </dxf>
    <dxf>
      <font>
        <b/>
        <sz val="20"/>
        <color rgb="FFFFFFFF"/>
        <name val="Calibri"/>
        <charset val="1"/>
      </font>
      <fill>
        <patternFill>
          <bgColor rgb="FFB8860B"/>
        </patternFill>
      </fill>
    </dxf>
    <dxf>
      <font>
        <b/>
        <sz val="20"/>
        <color rgb="FFFFFFFF"/>
        <name val="Calibri"/>
        <charset val="1"/>
      </font>
      <fill>
        <patternFill>
          <bgColor rgb="FFB3261E"/>
        </patternFill>
      </fill>
    </dxf>
    <dxf>
      <font>
        <sz val="10"/>
        <color rgb="FF8A8F99"/>
        <name val="Calibri"/>
        <charset val="1"/>
      </font>
      <fill>
        <patternFill>
          <bgColor rgb="FFFAFAFA"/>
        </patternFill>
      </fill>
    </dxf>
  </dxfs>
  <tableStyles count="1" defaultTableStyle="TableStyleMedium2" defaultPivotStyle="PivotStyleLight16">
    <tableStyle name="Invisible" pivot="0" table="0" count="0" xr9:uid="{9E2A4ECD-4795-42CC-BA07-D2CDBCE35D75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683A"/>
      <rgbColor rgb="FF000080"/>
      <rgbColor rgb="FFB8860B"/>
      <rgbColor rgb="FF800080"/>
      <rgbColor rgb="FF008080"/>
      <rgbColor rgb="FFBBBBBB"/>
      <rgbColor rgb="FF808080"/>
      <rgbColor rgb="FF9999FF"/>
      <rgbColor rgb="FF993366"/>
      <rgbColor rgb="FFFFFDE7"/>
      <rgbColor rgb="FFE4F0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FEAF6"/>
      <rgbColor rgb="FFFAFAFA"/>
      <rgbColor rgb="FF99CCFF"/>
      <rgbColor rgb="FFFF99CC"/>
      <rgbColor rgb="FFCC99FF"/>
      <rgbColor rgb="FFFCE4E2"/>
      <rgbColor rgb="FF3366FF"/>
      <rgbColor rgb="FF33CCCC"/>
      <rgbColor rgb="FF99CC00"/>
      <rgbColor rgb="FFFFCC00"/>
      <rgbColor rgb="FFFF9900"/>
      <rgbColor rgb="FFFF6600"/>
      <rgbColor rgb="FF666666"/>
      <rgbColor rgb="FF8A8F99"/>
      <rgbColor rgb="FF003366"/>
      <rgbColor rgb="FF339966"/>
      <rgbColor rgb="FF003300"/>
      <rgbColor rgb="FF555555"/>
      <rgbColor rgb="FFB3261E"/>
      <rgbColor rgb="FF993366"/>
      <rgbColor rgb="FF5B3A9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6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24" customWidth="1"/>
    <col min="3" max="3" width="30" customWidth="1"/>
    <col min="4" max="4" width="18" customWidth="1"/>
    <col min="5" max="5" width="30" customWidth="1"/>
    <col min="6" max="6" width="34" customWidth="1"/>
  </cols>
  <sheetData>
    <row r="2" spans="2:6" ht="19.899999999999999" customHeight="1" x14ac:dyDescent="0.3">
      <c r="B2" s="23" t="s">
        <v>220</v>
      </c>
      <c r="C2" s="12"/>
      <c r="D2" s="12"/>
      <c r="E2" s="12"/>
      <c r="F2" s="12"/>
    </row>
    <row r="4" spans="2:6" ht="15" customHeight="1" x14ac:dyDescent="0.25">
      <c r="B4" s="21" t="s">
        <v>221</v>
      </c>
      <c r="C4" s="12"/>
      <c r="D4" s="12"/>
      <c r="E4" s="12"/>
      <c r="F4" s="12"/>
    </row>
    <row r="5" spans="2:6" ht="27.75" customHeight="1" x14ac:dyDescent="0.25">
      <c r="B5" s="24" t="s">
        <v>222</v>
      </c>
      <c r="C5" s="12"/>
      <c r="D5" s="12"/>
      <c r="E5" s="12"/>
      <c r="F5" s="12"/>
    </row>
    <row r="7" spans="2:6" ht="15" customHeight="1" x14ac:dyDescent="0.25">
      <c r="B7" s="21" t="s">
        <v>223</v>
      </c>
      <c r="C7" s="12"/>
      <c r="D7" s="12"/>
      <c r="E7" s="12"/>
      <c r="F7" s="12"/>
    </row>
    <row r="8" spans="2:6" ht="27.75" customHeight="1" x14ac:dyDescent="0.25">
      <c r="B8" s="24" t="s">
        <v>224</v>
      </c>
      <c r="C8" s="12"/>
      <c r="D8" s="12"/>
      <c r="E8" s="12"/>
      <c r="F8" s="12"/>
    </row>
    <row r="10" spans="2:6" ht="15" customHeight="1" x14ac:dyDescent="0.25">
      <c r="B10" s="21" t="s">
        <v>225</v>
      </c>
      <c r="C10" s="12"/>
      <c r="D10" s="12"/>
      <c r="E10" s="12"/>
      <c r="F10" s="12"/>
    </row>
    <row r="11" spans="2:6" ht="27.75" customHeight="1" x14ac:dyDescent="0.25">
      <c r="B11" s="24" t="s">
        <v>226</v>
      </c>
      <c r="C11" s="12"/>
      <c r="D11" s="12"/>
      <c r="E11" s="12"/>
      <c r="F11" s="12"/>
    </row>
    <row r="13" spans="2:6" ht="15" customHeight="1" x14ac:dyDescent="0.25">
      <c r="B13" s="21" t="s">
        <v>227</v>
      </c>
      <c r="C13" s="12"/>
      <c r="D13" s="12"/>
      <c r="E13" s="12"/>
      <c r="F13" s="12"/>
    </row>
    <row r="14" spans="2:6" ht="27.75" customHeight="1" x14ac:dyDescent="0.25">
      <c r="B14" s="24" t="s">
        <v>228</v>
      </c>
      <c r="C14" s="12"/>
      <c r="D14" s="12"/>
      <c r="E14" s="12"/>
      <c r="F14" s="12"/>
    </row>
    <row r="16" spans="2:6" ht="15" customHeight="1" x14ac:dyDescent="0.25">
      <c r="B16" s="21" t="s">
        <v>229</v>
      </c>
      <c r="C16" s="12"/>
      <c r="D16" s="12"/>
      <c r="E16" s="12"/>
      <c r="F16" s="12"/>
    </row>
    <row r="17" spans="2:6" ht="27.75" customHeight="1" x14ac:dyDescent="0.25">
      <c r="B17" s="24" t="s">
        <v>230</v>
      </c>
      <c r="C17" s="12"/>
      <c r="D17" s="12"/>
      <c r="E17" s="12"/>
      <c r="F17" s="12"/>
    </row>
    <row r="19" spans="2:6" ht="15.6" customHeight="1" x14ac:dyDescent="0.25">
      <c r="B19" s="26" t="s">
        <v>231</v>
      </c>
      <c r="C19" s="12"/>
      <c r="D19" s="12"/>
      <c r="E19" s="12"/>
      <c r="F19" s="12"/>
    </row>
    <row r="20" spans="2:6" ht="15" customHeight="1" x14ac:dyDescent="0.25">
      <c r="B20" s="22" t="s">
        <v>232</v>
      </c>
      <c r="C20" s="12"/>
      <c r="D20" s="12"/>
      <c r="E20" s="12"/>
      <c r="F20" s="12"/>
    </row>
    <row r="21" spans="2:6" ht="15" customHeight="1" x14ac:dyDescent="0.25">
      <c r="B21" s="22" t="s">
        <v>233</v>
      </c>
      <c r="C21" s="12"/>
      <c r="D21" s="12"/>
      <c r="E21" s="12"/>
      <c r="F21" s="12"/>
    </row>
    <row r="22" spans="2:6" ht="15" customHeight="1" x14ac:dyDescent="0.25">
      <c r="B22" s="22" t="s">
        <v>234</v>
      </c>
      <c r="C22" s="12"/>
      <c r="D22" s="12"/>
      <c r="E22" s="12"/>
      <c r="F22" s="12"/>
    </row>
    <row r="24" spans="2:6" ht="15.6" customHeight="1" x14ac:dyDescent="0.25">
      <c r="B24" s="26" t="s">
        <v>235</v>
      </c>
      <c r="C24" s="12"/>
      <c r="D24" s="12"/>
      <c r="E24" s="12"/>
      <c r="F24" s="12"/>
    </row>
    <row r="25" spans="2:6" ht="15" customHeight="1" x14ac:dyDescent="0.25">
      <c r="B25" s="22" t="s">
        <v>236</v>
      </c>
      <c r="C25" s="12"/>
      <c r="D25" s="12"/>
      <c r="E25" s="12"/>
      <c r="F25" s="12"/>
    </row>
    <row r="26" spans="2:6" ht="15" customHeight="1" x14ac:dyDescent="0.25">
      <c r="B26" s="22" t="s">
        <v>237</v>
      </c>
      <c r="C26" s="12"/>
      <c r="D26" s="12"/>
      <c r="E26" s="12"/>
      <c r="F26" s="12"/>
    </row>
    <row r="27" spans="2:6" ht="15" customHeight="1" x14ac:dyDescent="0.25">
      <c r="B27" s="22" t="s">
        <v>238</v>
      </c>
      <c r="C27" s="12"/>
      <c r="D27" s="12"/>
      <c r="E27" s="12"/>
      <c r="F27" s="12"/>
    </row>
    <row r="28" spans="2:6" ht="15" customHeight="1" x14ac:dyDescent="0.25">
      <c r="B28" s="22" t="s">
        <v>239</v>
      </c>
      <c r="C28" s="12"/>
      <c r="D28" s="12"/>
      <c r="E28" s="12"/>
      <c r="F28" s="12"/>
    </row>
    <row r="30" spans="2:6" ht="42" customHeight="1" x14ac:dyDescent="0.25">
      <c r="B30" s="24" t="s">
        <v>240</v>
      </c>
      <c r="C30" s="12"/>
      <c r="D30" s="12"/>
      <c r="E30" s="12"/>
      <c r="F30" s="12"/>
    </row>
    <row r="32" spans="2:6" x14ac:dyDescent="0.25">
      <c r="B32" s="27" t="s">
        <v>241</v>
      </c>
      <c r="C32" s="12"/>
      <c r="D32" s="12"/>
      <c r="E32" s="12"/>
      <c r="F32" s="12"/>
    </row>
    <row r="34" spans="2:6" x14ac:dyDescent="0.25">
      <c r="B34" s="25" t="s">
        <v>242</v>
      </c>
      <c r="C34" s="12"/>
      <c r="D34" s="12"/>
      <c r="E34" s="12"/>
      <c r="F34" s="12"/>
    </row>
    <row r="35" spans="2:6" x14ac:dyDescent="0.25">
      <c r="B35" s="1" t="s">
        <v>16</v>
      </c>
      <c r="C35" s="1" t="s">
        <v>18</v>
      </c>
      <c r="D35" s="1" t="s">
        <v>23</v>
      </c>
      <c r="E35" s="1" t="s">
        <v>24</v>
      </c>
      <c r="F35" s="1" t="s">
        <v>25</v>
      </c>
    </row>
    <row r="36" spans="2:6" ht="30" customHeight="1" x14ac:dyDescent="0.25">
      <c r="B36" s="2" t="s">
        <v>49</v>
      </c>
      <c r="C36" s="2" t="s">
        <v>243</v>
      </c>
      <c r="D36" s="2" t="s">
        <v>46</v>
      </c>
      <c r="E36" s="2" t="s">
        <v>244</v>
      </c>
      <c r="F36" s="2" t="s">
        <v>245</v>
      </c>
    </row>
  </sheetData>
  <mergeCells count="23">
    <mergeCell ref="B34:F34"/>
    <mergeCell ref="B10:F10"/>
    <mergeCell ref="B28:F28"/>
    <mergeCell ref="B19:F19"/>
    <mergeCell ref="B30:F30"/>
    <mergeCell ref="B24:F24"/>
    <mergeCell ref="B20:F20"/>
    <mergeCell ref="B32:F32"/>
    <mergeCell ref="B26:F26"/>
    <mergeCell ref="B27:F27"/>
    <mergeCell ref="B21:F21"/>
    <mergeCell ref="B2:F2"/>
    <mergeCell ref="B11:F11"/>
    <mergeCell ref="B14:F14"/>
    <mergeCell ref="B8:F8"/>
    <mergeCell ref="B17:F17"/>
    <mergeCell ref="B13:F13"/>
    <mergeCell ref="B5:F5"/>
    <mergeCell ref="B4:F4"/>
    <mergeCell ref="B7:F7"/>
    <mergeCell ref="B16:F16"/>
    <mergeCell ref="B25:F25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showGridLines="0" tabSelected="1" zoomScaleNormal="100" workbookViewId="0">
      <pane ySplit="11" topLeftCell="A12" activePane="bottomLeft" state="frozen"/>
      <selection pane="bottomLeft" activeCell="A48" sqref="A48"/>
    </sheetView>
  </sheetViews>
  <sheetFormatPr baseColWidth="10" defaultColWidth="8.7109375" defaultRowHeight="15" x14ac:dyDescent="0.25"/>
  <cols>
    <col min="1" max="1" width="9" customWidth="1"/>
    <col min="2" max="2" width="20" customWidth="1"/>
    <col min="3" max="3" width="48.85546875" style="7" customWidth="1"/>
    <col min="4" max="4" width="12" customWidth="1"/>
    <col min="5" max="5" width="13" customWidth="1"/>
    <col min="6" max="6" width="12" customWidth="1"/>
    <col min="7" max="7" width="15" customWidth="1"/>
    <col min="8" max="8" width="13" customWidth="1"/>
    <col min="9" max="9" width="28" customWidth="1"/>
    <col min="10" max="10" width="32" customWidth="1"/>
    <col min="13" max="13" width="13" hidden="1" customWidth="1"/>
  </cols>
  <sheetData>
    <row r="1" spans="1:13" ht="25.5" customHeight="1" x14ac:dyDescent="0.25">
      <c r="A1" s="11" t="s">
        <v>0</v>
      </c>
      <c r="B1" s="12"/>
      <c r="C1" s="13"/>
      <c r="D1" s="12"/>
      <c r="E1" s="12"/>
      <c r="F1" s="12"/>
      <c r="G1" s="12"/>
      <c r="H1" s="12"/>
      <c r="I1" s="12"/>
      <c r="J1" s="12"/>
      <c r="M1">
        <f>IF($B$7="Crítico",3,IF($B$7="Medio",2,IF($B$7="Bajo",1,0)))</f>
        <v>3</v>
      </c>
    </row>
    <row r="2" spans="1:13" x14ac:dyDescent="0.25">
      <c r="A2" s="18" t="s">
        <v>1</v>
      </c>
      <c r="B2" s="12"/>
      <c r="C2" s="13"/>
      <c r="D2" s="12"/>
      <c r="E2" s="12"/>
      <c r="F2" s="12"/>
      <c r="G2" s="12"/>
      <c r="H2" s="12"/>
      <c r="I2" s="12"/>
      <c r="J2" s="12"/>
      <c r="M2">
        <f>COUNTIFS($G$12:$G$56,"SÍ",$F$12:$F$56,"Bloqueante",$H$12:$H$56,"No cumple")</f>
        <v>7</v>
      </c>
    </row>
    <row r="3" spans="1:13" x14ac:dyDescent="0.25">
      <c r="A3" s="3" t="s">
        <v>2</v>
      </c>
      <c r="B3" s="9" t="s">
        <v>3</v>
      </c>
      <c r="C3" s="10"/>
      <c r="E3" s="20" t="s">
        <v>4</v>
      </c>
      <c r="F3" s="12"/>
      <c r="G3" s="12"/>
      <c r="H3" s="12"/>
      <c r="I3" s="12"/>
      <c r="J3" s="12"/>
      <c r="M3">
        <f>COUNTIFS($G$12:$G$56,"SÍ",$F$12:$F$56,"Mayor",$H$12:$H$56,"No cumple")</f>
        <v>16</v>
      </c>
    </row>
    <row r="4" spans="1:13" x14ac:dyDescent="0.25">
      <c r="A4" s="3" t="s">
        <v>5</v>
      </c>
      <c r="B4" s="9" t="s">
        <v>6</v>
      </c>
      <c r="C4" s="10"/>
      <c r="E4" s="15" t="str">
        <f>IF(OR($B$5="",$B$6="",$B$7=""),"Completa el encabezado",IF($M$2&gt;0,"NO APROBADO",IF($M$4&gt;0,"INCOMPLETO — faltan "&amp;$M$4&amp;" ítems",IF($M$3&gt;0,"APROBADO CON CONDICIONES","APROBADO"))))</f>
        <v>NO APROBADO</v>
      </c>
      <c r="F4" s="16"/>
      <c r="G4" s="16"/>
      <c r="H4" s="16"/>
      <c r="I4" s="16"/>
      <c r="J4" s="16"/>
      <c r="M4">
        <f>COUNTIFS($G$12:$G$56,"SÍ",$H$12:$H$56,"")</f>
        <v>0</v>
      </c>
    </row>
    <row r="5" spans="1:13" x14ac:dyDescent="0.25">
      <c r="A5" s="3" t="s">
        <v>7</v>
      </c>
      <c r="B5" s="9" t="s">
        <v>8</v>
      </c>
      <c r="C5" s="10"/>
      <c r="E5" s="17"/>
      <c r="F5" s="12"/>
      <c r="G5" s="12"/>
      <c r="H5" s="12"/>
      <c r="I5" s="12"/>
      <c r="J5" s="12"/>
    </row>
    <row r="6" spans="1:13" x14ac:dyDescent="0.25">
      <c r="A6" s="3" t="s">
        <v>9</v>
      </c>
      <c r="B6" s="9" t="s">
        <v>10</v>
      </c>
      <c r="C6" s="10"/>
      <c r="E6" s="17"/>
      <c r="F6" s="12"/>
      <c r="G6" s="12"/>
      <c r="H6" s="12"/>
      <c r="I6" s="12"/>
      <c r="J6" s="12"/>
    </row>
    <row r="7" spans="1:13" x14ac:dyDescent="0.25">
      <c r="A7" s="3" t="s">
        <v>11</v>
      </c>
      <c r="B7" s="9" t="s">
        <v>12</v>
      </c>
      <c r="C7" s="10"/>
      <c r="E7" s="17"/>
      <c r="F7" s="12"/>
      <c r="G7" s="12"/>
      <c r="H7" s="12"/>
      <c r="I7" s="12"/>
      <c r="J7" s="12"/>
    </row>
    <row r="8" spans="1:13" x14ac:dyDescent="0.25">
      <c r="A8" s="3" t="s">
        <v>13</v>
      </c>
      <c r="B8" s="9" t="s">
        <v>14</v>
      </c>
      <c r="C8" s="10"/>
      <c r="E8" s="14" t="str">
        <f>"Bloqueantes sin cumplir: "&amp;$M$2&amp;"     Mayores sin cumplir: "&amp;$M$3&amp;"     Pendientes: "&amp;$M$4</f>
        <v>Bloqueantes sin cumplir: 7     Mayores sin cumplir: 16     Pendientes: 0</v>
      </c>
      <c r="F8" s="12"/>
      <c r="G8" s="12"/>
      <c r="H8" s="12"/>
      <c r="I8" s="12"/>
      <c r="J8" s="12"/>
    </row>
    <row r="9" spans="1:13" x14ac:dyDescent="0.25">
      <c r="A9" s="3" t="s">
        <v>15</v>
      </c>
      <c r="B9" s="19">
        <v>46279</v>
      </c>
      <c r="C9" s="10"/>
    </row>
    <row r="11" spans="1:13" ht="30" customHeight="1" x14ac:dyDescent="0.2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24</v>
      </c>
      <c r="J11" s="1" t="s">
        <v>25</v>
      </c>
    </row>
    <row r="12" spans="1:13" ht="27.6" customHeight="1" x14ac:dyDescent="0.25">
      <c r="A12" s="4" t="s">
        <v>26</v>
      </c>
      <c r="B12" s="4" t="s">
        <v>27</v>
      </c>
      <c r="C12" s="2" t="s">
        <v>28</v>
      </c>
      <c r="D12" s="4" t="s">
        <v>29</v>
      </c>
      <c r="E12" s="4" t="s">
        <v>30</v>
      </c>
      <c r="F12" s="4" t="s">
        <v>31</v>
      </c>
      <c r="G12" s="5" t="str">
        <f t="shared" ref="G12:G56" si="0">IF(OR($B$5="",$B$6="",$B$7=""),"",IF(AND(IF($E12="Crítico",3,IF($E12="Medio",2,1))&lt;=$M$1,IF($D12="Todos",TRUE(),IF($D12="Externo",$B$5="Externo",IF($D12="Propio",$B$6="Propio",IF($D12="Tercerizado",$B$6="Tercerizado",FALSE()))))),"SÍ","No"))</f>
        <v>No</v>
      </c>
      <c r="H12" s="6"/>
      <c r="I12" s="8"/>
      <c r="J12" s="8" t="s">
        <v>32</v>
      </c>
    </row>
    <row r="13" spans="1:13" ht="27.6" customHeight="1" x14ac:dyDescent="0.25">
      <c r="A13" s="4" t="s">
        <v>33</v>
      </c>
      <c r="B13" s="4" t="s">
        <v>27</v>
      </c>
      <c r="C13" s="2" t="s">
        <v>34</v>
      </c>
      <c r="D13" s="4" t="s">
        <v>29</v>
      </c>
      <c r="E13" s="4" t="s">
        <v>35</v>
      </c>
      <c r="F13" s="4" t="s">
        <v>31</v>
      </c>
      <c r="G13" s="5" t="str">
        <f t="shared" si="0"/>
        <v>No</v>
      </c>
      <c r="H13" s="6"/>
      <c r="I13" s="8"/>
      <c r="J13" s="8" t="s">
        <v>36</v>
      </c>
    </row>
    <row r="14" spans="1:13" ht="27.6" customHeight="1" x14ac:dyDescent="0.25">
      <c r="A14" s="4" t="s">
        <v>37</v>
      </c>
      <c r="B14" s="4" t="s">
        <v>27</v>
      </c>
      <c r="C14" s="2" t="s">
        <v>38</v>
      </c>
      <c r="D14" s="4" t="s">
        <v>8</v>
      </c>
      <c r="E14" s="4" t="s">
        <v>30</v>
      </c>
      <c r="F14" s="4" t="s">
        <v>31</v>
      </c>
      <c r="G14" s="5" t="str">
        <f t="shared" si="0"/>
        <v>SÍ</v>
      </c>
      <c r="H14" s="6" t="s">
        <v>39</v>
      </c>
      <c r="I14" s="8" t="s">
        <v>40</v>
      </c>
      <c r="J14" s="8" t="s">
        <v>41</v>
      </c>
    </row>
    <row r="15" spans="1:13" ht="27.6" customHeight="1" x14ac:dyDescent="0.25">
      <c r="A15" s="4" t="s">
        <v>42</v>
      </c>
      <c r="B15" s="4" t="s">
        <v>43</v>
      </c>
      <c r="C15" s="2" t="s">
        <v>44</v>
      </c>
      <c r="D15" s="4" t="s">
        <v>45</v>
      </c>
      <c r="E15" s="4" t="s">
        <v>30</v>
      </c>
      <c r="F15" s="4" t="s">
        <v>31</v>
      </c>
      <c r="G15" s="5" t="str">
        <f t="shared" si="0"/>
        <v>SÍ</v>
      </c>
      <c r="H15" s="6" t="s">
        <v>46</v>
      </c>
      <c r="I15" s="8" t="s">
        <v>47</v>
      </c>
      <c r="J15" s="8" t="s">
        <v>48</v>
      </c>
    </row>
    <row r="16" spans="1:13" ht="27.6" customHeight="1" x14ac:dyDescent="0.25">
      <c r="A16" s="4" t="s">
        <v>49</v>
      </c>
      <c r="B16" s="4" t="s">
        <v>43</v>
      </c>
      <c r="C16" s="2" t="s">
        <v>50</v>
      </c>
      <c r="D16" s="4" t="s">
        <v>45</v>
      </c>
      <c r="E16" s="4" t="s">
        <v>35</v>
      </c>
      <c r="F16" s="4" t="s">
        <v>31</v>
      </c>
      <c r="G16" s="5" t="str">
        <f t="shared" si="0"/>
        <v>SÍ</v>
      </c>
      <c r="H16" s="6" t="s">
        <v>39</v>
      </c>
      <c r="I16" s="8" t="s">
        <v>51</v>
      </c>
      <c r="J16" s="8" t="s">
        <v>52</v>
      </c>
    </row>
    <row r="17" spans="1:10" ht="27.6" customHeight="1" x14ac:dyDescent="0.25">
      <c r="A17" s="4" t="s">
        <v>53</v>
      </c>
      <c r="B17" s="4" t="s">
        <v>43</v>
      </c>
      <c r="C17" s="2" t="s">
        <v>54</v>
      </c>
      <c r="D17" s="4" t="s">
        <v>45</v>
      </c>
      <c r="E17" s="4" t="s">
        <v>30</v>
      </c>
      <c r="F17" s="4" t="s">
        <v>55</v>
      </c>
      <c r="G17" s="5" t="str">
        <f t="shared" si="0"/>
        <v>SÍ</v>
      </c>
      <c r="H17" s="6" t="s">
        <v>46</v>
      </c>
      <c r="I17" s="8" t="s">
        <v>56</v>
      </c>
      <c r="J17" s="8" t="s">
        <v>57</v>
      </c>
    </row>
    <row r="18" spans="1:10" ht="27.6" customHeight="1" x14ac:dyDescent="0.25">
      <c r="A18" s="4" t="s">
        <v>58</v>
      </c>
      <c r="B18" s="4" t="s">
        <v>43</v>
      </c>
      <c r="C18" s="2" t="s">
        <v>59</v>
      </c>
      <c r="D18" s="4" t="s">
        <v>45</v>
      </c>
      <c r="E18" s="4" t="s">
        <v>35</v>
      </c>
      <c r="F18" s="4" t="s">
        <v>55</v>
      </c>
      <c r="G18" s="5" t="str">
        <f t="shared" si="0"/>
        <v>SÍ</v>
      </c>
      <c r="H18" s="6" t="s">
        <v>39</v>
      </c>
      <c r="I18" s="8" t="s">
        <v>60</v>
      </c>
      <c r="J18" s="8" t="s">
        <v>61</v>
      </c>
    </row>
    <row r="19" spans="1:10" ht="114.75" x14ac:dyDescent="0.25">
      <c r="A19" s="4" t="s">
        <v>62</v>
      </c>
      <c r="B19" s="4" t="s">
        <v>63</v>
      </c>
      <c r="C19" s="2" t="s">
        <v>64</v>
      </c>
      <c r="D19" s="4" t="s">
        <v>45</v>
      </c>
      <c r="E19" s="4" t="s">
        <v>30</v>
      </c>
      <c r="F19" s="4" t="s">
        <v>31</v>
      </c>
      <c r="G19" s="5" t="str">
        <f t="shared" si="0"/>
        <v>SÍ</v>
      </c>
      <c r="H19" s="6" t="s">
        <v>46</v>
      </c>
      <c r="I19" s="8" t="s">
        <v>65</v>
      </c>
      <c r="J19" s="8" t="s">
        <v>66</v>
      </c>
    </row>
    <row r="20" spans="1:10" ht="27.6" customHeight="1" x14ac:dyDescent="0.25">
      <c r="A20" s="4" t="s">
        <v>67</v>
      </c>
      <c r="B20" s="4" t="s">
        <v>63</v>
      </c>
      <c r="C20" s="2" t="s">
        <v>68</v>
      </c>
      <c r="D20" s="4" t="s">
        <v>45</v>
      </c>
      <c r="E20" s="4" t="s">
        <v>35</v>
      </c>
      <c r="F20" s="4" t="s">
        <v>31</v>
      </c>
      <c r="G20" s="5" t="str">
        <f t="shared" si="0"/>
        <v>SÍ</v>
      </c>
      <c r="H20" s="6" t="s">
        <v>46</v>
      </c>
      <c r="I20" s="8" t="s">
        <v>69</v>
      </c>
      <c r="J20" s="8" t="s">
        <v>70</v>
      </c>
    </row>
    <row r="21" spans="1:10" ht="114.75" x14ac:dyDescent="0.25">
      <c r="A21" s="4" t="s">
        <v>71</v>
      </c>
      <c r="B21" s="4" t="s">
        <v>63</v>
      </c>
      <c r="C21" s="2" t="s">
        <v>72</v>
      </c>
      <c r="D21" s="4" t="s">
        <v>45</v>
      </c>
      <c r="E21" s="4" t="s">
        <v>35</v>
      </c>
      <c r="F21" s="4" t="s">
        <v>55</v>
      </c>
      <c r="G21" s="5" t="str">
        <f t="shared" si="0"/>
        <v>SÍ</v>
      </c>
      <c r="H21" s="6" t="s">
        <v>39</v>
      </c>
      <c r="I21" s="8" t="s">
        <v>73</v>
      </c>
      <c r="J21" s="8" t="s">
        <v>74</v>
      </c>
    </row>
    <row r="22" spans="1:10" ht="27.6" customHeight="1" x14ac:dyDescent="0.25">
      <c r="A22" s="4" t="s">
        <v>75</v>
      </c>
      <c r="B22" s="4" t="s">
        <v>63</v>
      </c>
      <c r="C22" s="2" t="s">
        <v>76</v>
      </c>
      <c r="D22" s="4" t="s">
        <v>45</v>
      </c>
      <c r="E22" s="4" t="s">
        <v>35</v>
      </c>
      <c r="F22" s="4" t="s">
        <v>31</v>
      </c>
      <c r="G22" s="5" t="str">
        <f t="shared" si="0"/>
        <v>SÍ</v>
      </c>
      <c r="H22" s="6" t="s">
        <v>39</v>
      </c>
      <c r="I22" s="8" t="s">
        <v>77</v>
      </c>
      <c r="J22" s="8" t="s">
        <v>78</v>
      </c>
    </row>
    <row r="23" spans="1:10" ht="27.6" customHeight="1" x14ac:dyDescent="0.25">
      <c r="A23" s="4" t="s">
        <v>79</v>
      </c>
      <c r="B23" s="4" t="s">
        <v>63</v>
      </c>
      <c r="C23" s="2" t="s">
        <v>80</v>
      </c>
      <c r="D23" s="4" t="s">
        <v>45</v>
      </c>
      <c r="E23" s="4" t="s">
        <v>30</v>
      </c>
      <c r="F23" s="4" t="s">
        <v>31</v>
      </c>
      <c r="G23" s="5" t="str">
        <f t="shared" si="0"/>
        <v>SÍ</v>
      </c>
      <c r="H23" s="6" t="s">
        <v>39</v>
      </c>
      <c r="I23" s="8" t="s">
        <v>81</v>
      </c>
      <c r="J23" s="8" t="s">
        <v>82</v>
      </c>
    </row>
    <row r="24" spans="1:10" ht="27.6" customHeight="1" x14ac:dyDescent="0.25">
      <c r="A24" s="4" t="s">
        <v>83</v>
      </c>
      <c r="B24" s="4" t="s">
        <v>84</v>
      </c>
      <c r="C24" s="2" t="s">
        <v>85</v>
      </c>
      <c r="D24" s="4" t="s">
        <v>45</v>
      </c>
      <c r="E24" s="4" t="s">
        <v>30</v>
      </c>
      <c r="F24" s="4" t="s">
        <v>31</v>
      </c>
      <c r="G24" s="5" t="str">
        <f t="shared" si="0"/>
        <v>SÍ</v>
      </c>
      <c r="H24" s="6" t="s">
        <v>46</v>
      </c>
      <c r="I24" s="8" t="s">
        <v>86</v>
      </c>
      <c r="J24" s="8" t="s">
        <v>87</v>
      </c>
    </row>
    <row r="25" spans="1:10" ht="27.6" customHeight="1" x14ac:dyDescent="0.25">
      <c r="A25" s="4" t="s">
        <v>88</v>
      </c>
      <c r="B25" s="4" t="s">
        <v>84</v>
      </c>
      <c r="C25" s="2" t="s">
        <v>89</v>
      </c>
      <c r="D25" s="4" t="s">
        <v>45</v>
      </c>
      <c r="E25" s="4" t="s">
        <v>35</v>
      </c>
      <c r="F25" s="4" t="s">
        <v>31</v>
      </c>
      <c r="G25" s="5" t="str">
        <f t="shared" si="0"/>
        <v>SÍ</v>
      </c>
      <c r="H25" s="6" t="s">
        <v>39</v>
      </c>
      <c r="I25" s="8" t="s">
        <v>90</v>
      </c>
      <c r="J25" s="8" t="s">
        <v>91</v>
      </c>
    </row>
    <row r="26" spans="1:10" ht="27.6" customHeight="1" x14ac:dyDescent="0.25">
      <c r="A26" s="4" t="s">
        <v>92</v>
      </c>
      <c r="B26" s="4" t="s">
        <v>84</v>
      </c>
      <c r="C26" s="2" t="s">
        <v>93</v>
      </c>
      <c r="D26" s="4" t="s">
        <v>45</v>
      </c>
      <c r="E26" s="4" t="s">
        <v>30</v>
      </c>
      <c r="F26" s="4" t="s">
        <v>55</v>
      </c>
      <c r="G26" s="5" t="str">
        <f t="shared" si="0"/>
        <v>SÍ</v>
      </c>
      <c r="H26" s="6" t="s">
        <v>46</v>
      </c>
      <c r="I26" s="8" t="s">
        <v>94</v>
      </c>
      <c r="J26" s="8" t="s">
        <v>95</v>
      </c>
    </row>
    <row r="27" spans="1:10" ht="27.6" customHeight="1" x14ac:dyDescent="0.25">
      <c r="A27" s="4" t="s">
        <v>96</v>
      </c>
      <c r="B27" s="4" t="s">
        <v>84</v>
      </c>
      <c r="C27" s="2" t="s">
        <v>97</v>
      </c>
      <c r="D27" s="4" t="s">
        <v>45</v>
      </c>
      <c r="E27" s="4" t="s">
        <v>35</v>
      </c>
      <c r="F27" s="4" t="s">
        <v>55</v>
      </c>
      <c r="G27" s="5" t="str">
        <f t="shared" si="0"/>
        <v>SÍ</v>
      </c>
      <c r="H27" s="6" t="s">
        <v>39</v>
      </c>
      <c r="I27" s="8" t="s">
        <v>98</v>
      </c>
      <c r="J27" s="8" t="s">
        <v>99</v>
      </c>
    </row>
    <row r="28" spans="1:10" ht="27.6" customHeight="1" x14ac:dyDescent="0.25">
      <c r="A28" s="4" t="s">
        <v>100</v>
      </c>
      <c r="B28" s="4" t="s">
        <v>101</v>
      </c>
      <c r="C28" s="2" t="s">
        <v>102</v>
      </c>
      <c r="D28" s="4" t="s">
        <v>45</v>
      </c>
      <c r="E28" s="4" t="s">
        <v>30</v>
      </c>
      <c r="F28" s="4" t="s">
        <v>31</v>
      </c>
      <c r="G28" s="5" t="str">
        <f t="shared" si="0"/>
        <v>SÍ</v>
      </c>
      <c r="H28" s="6" t="s">
        <v>46</v>
      </c>
      <c r="I28" s="8" t="s">
        <v>103</v>
      </c>
      <c r="J28" s="8" t="s">
        <v>104</v>
      </c>
    </row>
    <row r="29" spans="1:10" ht="27.6" customHeight="1" x14ac:dyDescent="0.25">
      <c r="A29" s="4" t="s">
        <v>105</v>
      </c>
      <c r="B29" s="4" t="s">
        <v>101</v>
      </c>
      <c r="C29" s="2" t="s">
        <v>106</v>
      </c>
      <c r="D29" s="4" t="s">
        <v>45</v>
      </c>
      <c r="E29" s="4" t="s">
        <v>30</v>
      </c>
      <c r="F29" s="4" t="s">
        <v>31</v>
      </c>
      <c r="G29" s="5" t="str">
        <f t="shared" si="0"/>
        <v>SÍ</v>
      </c>
      <c r="H29" s="6" t="s">
        <v>46</v>
      </c>
      <c r="I29" s="8" t="s">
        <v>107</v>
      </c>
      <c r="J29" s="8" t="s">
        <v>57</v>
      </c>
    </row>
    <row r="30" spans="1:10" ht="27.6" customHeight="1" x14ac:dyDescent="0.25">
      <c r="A30" s="4" t="s">
        <v>108</v>
      </c>
      <c r="B30" s="4" t="s">
        <v>101</v>
      </c>
      <c r="C30" s="2" t="s">
        <v>109</v>
      </c>
      <c r="D30" s="4" t="s">
        <v>45</v>
      </c>
      <c r="E30" s="4" t="s">
        <v>12</v>
      </c>
      <c r="F30" s="4" t="s">
        <v>55</v>
      </c>
      <c r="G30" s="5" t="str">
        <f t="shared" si="0"/>
        <v>SÍ</v>
      </c>
      <c r="H30" s="6" t="s">
        <v>39</v>
      </c>
      <c r="I30" s="8" t="s">
        <v>110</v>
      </c>
      <c r="J30" s="8" t="s">
        <v>111</v>
      </c>
    </row>
    <row r="31" spans="1:10" ht="27.6" customHeight="1" x14ac:dyDescent="0.25">
      <c r="A31" s="4" t="s">
        <v>112</v>
      </c>
      <c r="B31" s="4" t="s">
        <v>113</v>
      </c>
      <c r="C31" s="2" t="s">
        <v>114</v>
      </c>
      <c r="D31" s="4" t="s">
        <v>45</v>
      </c>
      <c r="E31" s="4" t="s">
        <v>35</v>
      </c>
      <c r="F31" s="4" t="s">
        <v>31</v>
      </c>
      <c r="G31" s="5" t="str">
        <f t="shared" si="0"/>
        <v>SÍ</v>
      </c>
      <c r="H31" s="6" t="s">
        <v>39</v>
      </c>
      <c r="I31" s="8" t="s">
        <v>115</v>
      </c>
      <c r="J31" s="8" t="s">
        <v>116</v>
      </c>
    </row>
    <row r="32" spans="1:10" ht="27.6" customHeight="1" x14ac:dyDescent="0.25">
      <c r="A32" s="4" t="s">
        <v>117</v>
      </c>
      <c r="B32" s="4" t="s">
        <v>113</v>
      </c>
      <c r="C32" s="2" t="s">
        <v>118</v>
      </c>
      <c r="D32" s="4" t="s">
        <v>45</v>
      </c>
      <c r="E32" s="4" t="s">
        <v>35</v>
      </c>
      <c r="F32" s="4" t="s">
        <v>55</v>
      </c>
      <c r="G32" s="5" t="str">
        <f t="shared" si="0"/>
        <v>SÍ</v>
      </c>
      <c r="H32" s="6" t="s">
        <v>39</v>
      </c>
      <c r="I32" s="8" t="s">
        <v>119</v>
      </c>
      <c r="J32" s="8" t="s">
        <v>120</v>
      </c>
    </row>
    <row r="33" spans="1:10" ht="27.6" customHeight="1" x14ac:dyDescent="0.25">
      <c r="A33" s="4" t="s">
        <v>121</v>
      </c>
      <c r="B33" s="4" t="s">
        <v>113</v>
      </c>
      <c r="C33" s="2" t="s">
        <v>122</v>
      </c>
      <c r="D33" s="4" t="s">
        <v>45</v>
      </c>
      <c r="E33" s="4" t="s">
        <v>35</v>
      </c>
      <c r="F33" s="4" t="s">
        <v>55</v>
      </c>
      <c r="G33" s="5" t="str">
        <f t="shared" si="0"/>
        <v>SÍ</v>
      </c>
      <c r="H33" s="6" t="s">
        <v>39</v>
      </c>
      <c r="I33" s="8" t="s">
        <v>123</v>
      </c>
      <c r="J33" s="8" t="s">
        <v>124</v>
      </c>
    </row>
    <row r="34" spans="1:10" ht="27.6" customHeight="1" x14ac:dyDescent="0.25">
      <c r="A34" s="4" t="s">
        <v>125</v>
      </c>
      <c r="B34" s="4" t="s">
        <v>113</v>
      </c>
      <c r="C34" s="2" t="s">
        <v>126</v>
      </c>
      <c r="D34" s="4" t="s">
        <v>45</v>
      </c>
      <c r="E34" s="4" t="s">
        <v>30</v>
      </c>
      <c r="F34" s="4" t="s">
        <v>55</v>
      </c>
      <c r="G34" s="5" t="str">
        <f t="shared" si="0"/>
        <v>SÍ</v>
      </c>
      <c r="H34" s="6" t="s">
        <v>46</v>
      </c>
      <c r="I34" s="8" t="s">
        <v>127</v>
      </c>
      <c r="J34" s="8" t="s">
        <v>128</v>
      </c>
    </row>
    <row r="35" spans="1:10" ht="38.25" x14ac:dyDescent="0.25">
      <c r="A35" s="4" t="s">
        <v>129</v>
      </c>
      <c r="B35" s="4" t="s">
        <v>130</v>
      </c>
      <c r="C35" s="2" t="s">
        <v>131</v>
      </c>
      <c r="D35" s="4" t="s">
        <v>45</v>
      </c>
      <c r="E35" s="4" t="s">
        <v>30</v>
      </c>
      <c r="F35" s="4" t="s">
        <v>31</v>
      </c>
      <c r="G35" s="5" t="str">
        <f t="shared" si="0"/>
        <v>SÍ</v>
      </c>
      <c r="H35" s="6" t="s">
        <v>46</v>
      </c>
      <c r="I35" s="8" t="s">
        <v>132</v>
      </c>
      <c r="J35" s="8" t="s">
        <v>133</v>
      </c>
    </row>
    <row r="36" spans="1:10" ht="27.6" customHeight="1" x14ac:dyDescent="0.25">
      <c r="A36" s="4" t="s">
        <v>134</v>
      </c>
      <c r="B36" s="4" t="s">
        <v>130</v>
      </c>
      <c r="C36" s="2" t="s">
        <v>135</v>
      </c>
      <c r="D36" s="4" t="s">
        <v>45</v>
      </c>
      <c r="E36" s="4" t="s">
        <v>35</v>
      </c>
      <c r="F36" s="4" t="s">
        <v>55</v>
      </c>
      <c r="G36" s="5" t="str">
        <f t="shared" si="0"/>
        <v>SÍ</v>
      </c>
      <c r="H36" s="6" t="s">
        <v>39</v>
      </c>
      <c r="I36" s="8" t="s">
        <v>136</v>
      </c>
      <c r="J36" s="8" t="s">
        <v>137</v>
      </c>
    </row>
    <row r="37" spans="1:10" ht="27.6" customHeight="1" x14ac:dyDescent="0.25">
      <c r="A37" s="4" t="s">
        <v>138</v>
      </c>
      <c r="B37" s="4" t="s">
        <v>130</v>
      </c>
      <c r="C37" s="2" t="s">
        <v>139</v>
      </c>
      <c r="D37" s="4" t="s">
        <v>45</v>
      </c>
      <c r="E37" s="4" t="s">
        <v>35</v>
      </c>
      <c r="F37" s="4" t="s">
        <v>55</v>
      </c>
      <c r="G37" s="5" t="str">
        <f t="shared" si="0"/>
        <v>SÍ</v>
      </c>
      <c r="H37" s="6" t="s">
        <v>39</v>
      </c>
      <c r="I37" s="8" t="s">
        <v>140</v>
      </c>
      <c r="J37" s="8" t="s">
        <v>141</v>
      </c>
    </row>
    <row r="38" spans="1:10" ht="27.6" customHeight="1" x14ac:dyDescent="0.25">
      <c r="A38" s="4" t="s">
        <v>142</v>
      </c>
      <c r="B38" s="4" t="s">
        <v>143</v>
      </c>
      <c r="C38" s="2" t="s">
        <v>144</v>
      </c>
      <c r="D38" s="4" t="s">
        <v>45</v>
      </c>
      <c r="E38" s="4" t="s">
        <v>35</v>
      </c>
      <c r="F38" s="4" t="s">
        <v>55</v>
      </c>
      <c r="G38" s="5" t="str">
        <f t="shared" si="0"/>
        <v>SÍ</v>
      </c>
      <c r="H38" s="6" t="s">
        <v>39</v>
      </c>
      <c r="I38" s="8" t="s">
        <v>145</v>
      </c>
      <c r="J38" s="8" t="s">
        <v>146</v>
      </c>
    </row>
    <row r="39" spans="1:10" ht="27.6" customHeight="1" x14ac:dyDescent="0.25">
      <c r="A39" s="4" t="s">
        <v>147</v>
      </c>
      <c r="B39" s="4" t="s">
        <v>143</v>
      </c>
      <c r="C39" s="2" t="s">
        <v>148</v>
      </c>
      <c r="D39" s="4" t="s">
        <v>45</v>
      </c>
      <c r="E39" s="4" t="s">
        <v>35</v>
      </c>
      <c r="F39" s="4" t="s">
        <v>55</v>
      </c>
      <c r="G39" s="5" t="str">
        <f t="shared" si="0"/>
        <v>SÍ</v>
      </c>
      <c r="H39" s="6" t="s">
        <v>39</v>
      </c>
      <c r="I39" s="8" t="s">
        <v>149</v>
      </c>
      <c r="J39" s="8" t="s">
        <v>150</v>
      </c>
    </row>
    <row r="40" spans="1:10" ht="27.6" customHeight="1" x14ac:dyDescent="0.25">
      <c r="A40" s="4" t="s">
        <v>151</v>
      </c>
      <c r="B40" s="4" t="s">
        <v>143</v>
      </c>
      <c r="C40" s="2" t="s">
        <v>152</v>
      </c>
      <c r="D40" s="4" t="s">
        <v>45</v>
      </c>
      <c r="E40" s="4" t="s">
        <v>12</v>
      </c>
      <c r="F40" s="4" t="s">
        <v>55</v>
      </c>
      <c r="G40" s="5" t="str">
        <f t="shared" si="0"/>
        <v>SÍ</v>
      </c>
      <c r="H40" s="6" t="s">
        <v>39</v>
      </c>
      <c r="I40" s="8" t="s">
        <v>153</v>
      </c>
      <c r="J40" s="8" t="s">
        <v>154</v>
      </c>
    </row>
    <row r="41" spans="1:10" ht="89.25" x14ac:dyDescent="0.25">
      <c r="A41" s="4" t="s">
        <v>155</v>
      </c>
      <c r="B41" s="4" t="s">
        <v>156</v>
      </c>
      <c r="C41" s="2" t="s">
        <v>157</v>
      </c>
      <c r="D41" s="4" t="s">
        <v>45</v>
      </c>
      <c r="E41" s="4" t="s">
        <v>35</v>
      </c>
      <c r="F41" s="4" t="s">
        <v>31</v>
      </c>
      <c r="G41" s="5" t="str">
        <f t="shared" si="0"/>
        <v>SÍ</v>
      </c>
      <c r="H41" s="6" t="s">
        <v>39</v>
      </c>
      <c r="I41" s="8" t="s">
        <v>158</v>
      </c>
      <c r="J41" s="8" t="s">
        <v>159</v>
      </c>
    </row>
    <row r="42" spans="1:10" ht="38.25" x14ac:dyDescent="0.25">
      <c r="A42" s="4" t="s">
        <v>160</v>
      </c>
      <c r="B42" s="4" t="s">
        <v>156</v>
      </c>
      <c r="C42" s="2" t="s">
        <v>161</v>
      </c>
      <c r="D42" s="4" t="s">
        <v>45</v>
      </c>
      <c r="E42" s="4" t="s">
        <v>12</v>
      </c>
      <c r="F42" s="4" t="s">
        <v>55</v>
      </c>
      <c r="G42" s="5" t="str">
        <f t="shared" si="0"/>
        <v>SÍ</v>
      </c>
      <c r="H42" s="6" t="s">
        <v>39</v>
      </c>
      <c r="I42" s="8" t="s">
        <v>162</v>
      </c>
      <c r="J42" s="8" t="s">
        <v>163</v>
      </c>
    </row>
    <row r="43" spans="1:10" ht="25.5" x14ac:dyDescent="0.25">
      <c r="A43" s="4" t="s">
        <v>164</v>
      </c>
      <c r="B43" s="4" t="s">
        <v>156</v>
      </c>
      <c r="C43" s="2" t="s">
        <v>165</v>
      </c>
      <c r="D43" s="4" t="s">
        <v>45</v>
      </c>
      <c r="E43" s="4" t="s">
        <v>12</v>
      </c>
      <c r="F43" s="4" t="s">
        <v>166</v>
      </c>
      <c r="G43" s="5" t="str">
        <f t="shared" si="0"/>
        <v>SÍ</v>
      </c>
      <c r="H43" s="6" t="s">
        <v>39</v>
      </c>
      <c r="I43" s="8" t="s">
        <v>167</v>
      </c>
      <c r="J43" s="8" t="s">
        <v>168</v>
      </c>
    </row>
    <row r="44" spans="1:10" ht="63.75" x14ac:dyDescent="0.25">
      <c r="A44" s="4" t="s">
        <v>169</v>
      </c>
      <c r="B44" s="4" t="s">
        <v>170</v>
      </c>
      <c r="C44" s="2" t="s">
        <v>171</v>
      </c>
      <c r="D44" s="4" t="s">
        <v>45</v>
      </c>
      <c r="E44" s="4" t="s">
        <v>35</v>
      </c>
      <c r="F44" s="4" t="s">
        <v>55</v>
      </c>
      <c r="G44" s="5" t="str">
        <f t="shared" si="0"/>
        <v>SÍ</v>
      </c>
      <c r="H44" s="6" t="s">
        <v>39</v>
      </c>
      <c r="I44" s="8" t="s">
        <v>172</v>
      </c>
      <c r="J44" s="8" t="s">
        <v>173</v>
      </c>
    </row>
    <row r="45" spans="1:10" ht="27.6" customHeight="1" x14ac:dyDescent="0.25">
      <c r="A45" s="4" t="s">
        <v>174</v>
      </c>
      <c r="B45" s="4" t="s">
        <v>170</v>
      </c>
      <c r="C45" s="2" t="s">
        <v>175</v>
      </c>
      <c r="D45" s="4" t="s">
        <v>45</v>
      </c>
      <c r="E45" s="4" t="s">
        <v>35</v>
      </c>
      <c r="F45" s="4" t="s">
        <v>166</v>
      </c>
      <c r="G45" s="5" t="str">
        <f t="shared" si="0"/>
        <v>SÍ</v>
      </c>
      <c r="H45" s="6" t="s">
        <v>39</v>
      </c>
      <c r="I45" s="8" t="s">
        <v>176</v>
      </c>
      <c r="J45" s="8" t="s">
        <v>177</v>
      </c>
    </row>
    <row r="46" spans="1:10" ht="27.6" customHeight="1" x14ac:dyDescent="0.25">
      <c r="A46" s="4" t="s">
        <v>178</v>
      </c>
      <c r="B46" s="4" t="s">
        <v>179</v>
      </c>
      <c r="C46" s="2" t="s">
        <v>180</v>
      </c>
      <c r="D46" s="4" t="s">
        <v>10</v>
      </c>
      <c r="E46" s="4" t="s">
        <v>35</v>
      </c>
      <c r="F46" s="4" t="s">
        <v>55</v>
      </c>
      <c r="G46" s="5" t="str">
        <f t="shared" si="0"/>
        <v>SÍ</v>
      </c>
      <c r="H46" s="6" t="s">
        <v>46</v>
      </c>
      <c r="I46" s="8" t="s">
        <v>181</v>
      </c>
      <c r="J46" s="8" t="s">
        <v>182</v>
      </c>
    </row>
    <row r="47" spans="1:10" ht="27.6" customHeight="1" x14ac:dyDescent="0.25">
      <c r="A47" s="4" t="s">
        <v>183</v>
      </c>
      <c r="B47" s="4" t="s">
        <v>179</v>
      </c>
      <c r="C47" s="2" t="s">
        <v>184</v>
      </c>
      <c r="D47" s="4" t="s">
        <v>10</v>
      </c>
      <c r="E47" s="4" t="s">
        <v>12</v>
      </c>
      <c r="F47" s="4" t="s">
        <v>55</v>
      </c>
      <c r="G47" s="5" t="str">
        <f t="shared" si="0"/>
        <v>SÍ</v>
      </c>
      <c r="H47" s="6" t="s">
        <v>39</v>
      </c>
      <c r="I47" s="8" t="s">
        <v>185</v>
      </c>
      <c r="J47" s="8" t="s">
        <v>186</v>
      </c>
    </row>
    <row r="48" spans="1:10" ht="27.6" customHeight="1" x14ac:dyDescent="0.25">
      <c r="A48" s="4" t="s">
        <v>187</v>
      </c>
      <c r="B48" s="4" t="s">
        <v>179</v>
      </c>
      <c r="C48" s="2" t="s">
        <v>188</v>
      </c>
      <c r="D48" s="4" t="s">
        <v>10</v>
      </c>
      <c r="E48" s="4" t="s">
        <v>35</v>
      </c>
      <c r="F48" s="4" t="s">
        <v>166</v>
      </c>
      <c r="G48" s="5" t="str">
        <f t="shared" si="0"/>
        <v>SÍ</v>
      </c>
      <c r="H48" s="6" t="s">
        <v>46</v>
      </c>
      <c r="I48" s="8" t="s">
        <v>189</v>
      </c>
      <c r="J48" s="8" t="s">
        <v>190</v>
      </c>
    </row>
    <row r="49" spans="1:10" ht="27.6" customHeight="1" x14ac:dyDescent="0.25">
      <c r="A49" s="4" t="s">
        <v>191</v>
      </c>
      <c r="B49" s="4" t="s">
        <v>179</v>
      </c>
      <c r="C49" s="2" t="s">
        <v>192</v>
      </c>
      <c r="D49" s="4" t="s">
        <v>10</v>
      </c>
      <c r="E49" s="4" t="s">
        <v>12</v>
      </c>
      <c r="F49" s="4" t="s">
        <v>55</v>
      </c>
      <c r="G49" s="5" t="str">
        <f t="shared" si="0"/>
        <v>SÍ</v>
      </c>
      <c r="H49" s="6" t="s">
        <v>39</v>
      </c>
      <c r="I49" s="8" t="s">
        <v>193</v>
      </c>
      <c r="J49" s="8" t="s">
        <v>194</v>
      </c>
    </row>
    <row r="50" spans="1:10" ht="27.6" customHeight="1" x14ac:dyDescent="0.25">
      <c r="A50" s="4" t="s">
        <v>195</v>
      </c>
      <c r="B50" s="4" t="s">
        <v>196</v>
      </c>
      <c r="C50" s="2" t="s">
        <v>197</v>
      </c>
      <c r="D50" s="4" t="s">
        <v>29</v>
      </c>
      <c r="E50" s="4" t="s">
        <v>12</v>
      </c>
      <c r="F50" s="4" t="s">
        <v>55</v>
      </c>
      <c r="G50" s="5" t="str">
        <f t="shared" si="0"/>
        <v>No</v>
      </c>
      <c r="H50" s="6"/>
      <c r="I50" s="8"/>
      <c r="J50" s="8" t="s">
        <v>198</v>
      </c>
    </row>
    <row r="51" spans="1:10" ht="27.6" customHeight="1" x14ac:dyDescent="0.25">
      <c r="A51" s="4" t="s">
        <v>199</v>
      </c>
      <c r="B51" s="4" t="s">
        <v>196</v>
      </c>
      <c r="C51" s="2" t="s">
        <v>200</v>
      </c>
      <c r="D51" s="4" t="s">
        <v>29</v>
      </c>
      <c r="E51" s="4" t="s">
        <v>35</v>
      </c>
      <c r="F51" s="4" t="s">
        <v>31</v>
      </c>
      <c r="G51" s="5" t="str">
        <f t="shared" si="0"/>
        <v>No</v>
      </c>
      <c r="H51" s="6"/>
      <c r="I51" s="8"/>
      <c r="J51" s="8" t="s">
        <v>36</v>
      </c>
    </row>
    <row r="52" spans="1:10" ht="27.6" customHeight="1" x14ac:dyDescent="0.25">
      <c r="A52" s="4" t="s">
        <v>201</v>
      </c>
      <c r="B52" s="4" t="s">
        <v>196</v>
      </c>
      <c r="C52" s="2" t="s">
        <v>202</v>
      </c>
      <c r="D52" s="4" t="s">
        <v>29</v>
      </c>
      <c r="E52" s="4" t="s">
        <v>12</v>
      </c>
      <c r="F52" s="4" t="s">
        <v>166</v>
      </c>
      <c r="G52" s="5" t="str">
        <f t="shared" si="0"/>
        <v>No</v>
      </c>
      <c r="H52" s="6"/>
      <c r="I52" s="8"/>
      <c r="J52" s="8" t="s">
        <v>36</v>
      </c>
    </row>
    <row r="53" spans="1:10" ht="27.6" customHeight="1" x14ac:dyDescent="0.25">
      <c r="A53" s="4" t="s">
        <v>203</v>
      </c>
      <c r="B53" s="4" t="s">
        <v>204</v>
      </c>
      <c r="C53" s="2" t="s">
        <v>205</v>
      </c>
      <c r="D53" s="4" t="s">
        <v>8</v>
      </c>
      <c r="E53" s="4" t="s">
        <v>30</v>
      </c>
      <c r="F53" s="4" t="s">
        <v>31</v>
      </c>
      <c r="G53" s="5" t="str">
        <f t="shared" si="0"/>
        <v>SÍ</v>
      </c>
      <c r="H53" s="6" t="s">
        <v>46</v>
      </c>
      <c r="I53" s="8" t="s">
        <v>206</v>
      </c>
      <c r="J53" s="8" t="s">
        <v>207</v>
      </c>
    </row>
    <row r="54" spans="1:10" ht="27.6" customHeight="1" x14ac:dyDescent="0.25">
      <c r="A54" s="4" t="s">
        <v>208</v>
      </c>
      <c r="B54" s="4" t="s">
        <v>204</v>
      </c>
      <c r="C54" s="2" t="s">
        <v>209</v>
      </c>
      <c r="D54" s="4" t="s">
        <v>8</v>
      </c>
      <c r="E54" s="4" t="s">
        <v>35</v>
      </c>
      <c r="F54" s="4" t="s">
        <v>55</v>
      </c>
      <c r="G54" s="5" t="str">
        <f t="shared" si="0"/>
        <v>SÍ</v>
      </c>
      <c r="H54" s="6" t="s">
        <v>46</v>
      </c>
      <c r="I54" s="8" t="s">
        <v>210</v>
      </c>
      <c r="J54" s="8" t="s">
        <v>211</v>
      </c>
    </row>
    <row r="55" spans="1:10" ht="27.6" customHeight="1" x14ac:dyDescent="0.25">
      <c r="A55" s="4" t="s">
        <v>212</v>
      </c>
      <c r="B55" s="4" t="s">
        <v>204</v>
      </c>
      <c r="C55" s="2" t="s">
        <v>213</v>
      </c>
      <c r="D55" s="4" t="s">
        <v>8</v>
      </c>
      <c r="E55" s="4" t="s">
        <v>35</v>
      </c>
      <c r="F55" s="4" t="s">
        <v>55</v>
      </c>
      <c r="G55" s="5" t="str">
        <f t="shared" si="0"/>
        <v>SÍ</v>
      </c>
      <c r="H55" s="6" t="s">
        <v>46</v>
      </c>
      <c r="I55" s="8" t="s">
        <v>214</v>
      </c>
      <c r="J55" s="8" t="s">
        <v>215</v>
      </c>
    </row>
    <row r="56" spans="1:10" ht="27.6" customHeight="1" x14ac:dyDescent="0.25">
      <c r="A56" s="4" t="s">
        <v>216</v>
      </c>
      <c r="B56" s="4" t="s">
        <v>204</v>
      </c>
      <c r="C56" s="2" t="s">
        <v>217</v>
      </c>
      <c r="D56" s="4" t="s">
        <v>8</v>
      </c>
      <c r="E56" s="4" t="s">
        <v>35</v>
      </c>
      <c r="F56" s="4" t="s">
        <v>55</v>
      </c>
      <c r="G56" s="5" t="str">
        <f t="shared" si="0"/>
        <v>SÍ</v>
      </c>
      <c r="H56" s="6" t="s">
        <v>39</v>
      </c>
      <c r="I56" s="8" t="s">
        <v>218</v>
      </c>
      <c r="J56" s="8" t="s">
        <v>219</v>
      </c>
    </row>
  </sheetData>
  <mergeCells count="12">
    <mergeCell ref="E8:J8"/>
    <mergeCell ref="E4:J7"/>
    <mergeCell ref="A2:J2"/>
    <mergeCell ref="B9:C9"/>
    <mergeCell ref="B8:C8"/>
    <mergeCell ref="B4:C4"/>
    <mergeCell ref="E3:J3"/>
    <mergeCell ref="B6:C6"/>
    <mergeCell ref="A1:J1"/>
    <mergeCell ref="B7:C7"/>
    <mergeCell ref="B3:C3"/>
    <mergeCell ref="B5:C5"/>
  </mergeCells>
  <conditionalFormatting sqref="A12:J56">
    <cfRule type="expression" dxfId="8" priority="9">
      <formula>$G12="No"</formula>
    </cfRule>
  </conditionalFormatting>
  <conditionalFormatting sqref="E4">
    <cfRule type="expression" dxfId="7" priority="2">
      <formula>ISNUMBER(SEARCH("NO APROBADO",$E$4))</formula>
    </cfRule>
    <cfRule type="expression" dxfId="6" priority="3">
      <formula>ISNUMBER(SEARCH("CONDICIONES",$E$4))</formula>
    </cfRule>
    <cfRule type="expression" dxfId="5" priority="4">
      <formula>ISNUMBER(SEARCH("INCOMPLETO",$E$4))</formula>
    </cfRule>
    <cfRule type="expression" dxfId="4" priority="5">
      <formula>EXACT($E$4,"APROBADO")</formula>
    </cfRule>
  </conditionalFormatting>
  <conditionalFormatting sqref="G12:G56">
    <cfRule type="cellIs" dxfId="3" priority="10" operator="equal">
      <formula>"SÍ"</formula>
    </cfRule>
  </conditionalFormatting>
  <conditionalFormatting sqref="H12:H56">
    <cfRule type="cellIs" dxfId="2" priority="6" operator="equal">
      <formula>"No cumple"</formula>
    </cfRule>
    <cfRule type="cellIs" dxfId="1" priority="7" operator="equal">
      <formula>"Cumple"</formula>
    </cfRule>
    <cfRule type="cellIs" dxfId="0" priority="8" operator="equal">
      <formula>"N/A"</formula>
    </cfRule>
  </conditionalFormatting>
  <dataValidations count="5">
    <dataValidation type="list" allowBlank="1" sqref="B5" xr:uid="{00000000-0002-0000-0100-000000000000}">
      <formula1>"Interno,Externo"</formula1>
      <formula2>0</formula2>
    </dataValidation>
    <dataValidation type="list" allowBlank="1" sqref="B6" xr:uid="{00000000-0002-0000-0100-000001000000}">
      <formula1>"Propio,Tercerizado"</formula1>
      <formula2>0</formula2>
    </dataValidation>
    <dataValidation type="list" allowBlank="1" sqref="B7" xr:uid="{00000000-0002-0000-0100-000002000000}">
      <formula1>"Bajo,Medio,Crítico"</formula1>
      <formula2>0</formula2>
    </dataValidation>
    <dataValidation type="list" allowBlank="1" sqref="B8" xr:uid="{00000000-0002-0000-0100-000003000000}">
      <formula1>"AWS,Render"</formula1>
      <formula2>0</formula2>
    </dataValidation>
    <dataValidation type="list" allowBlank="1" sqref="H12:H56" xr:uid="{00000000-0002-0000-0100-000004000000}">
      <formula1>"Cumple,No cumple,N/A"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E. Herreño P.</cp:lastModifiedBy>
  <cp:revision>0</cp:revision>
  <dcterms:created xsi:type="dcterms:W3CDTF">2026-09-09T19:16:01Z</dcterms:created>
  <dcterms:modified xsi:type="dcterms:W3CDTF">2026-09-14T21:46:49Z</dcterms:modified>
</cp:coreProperties>
</file>